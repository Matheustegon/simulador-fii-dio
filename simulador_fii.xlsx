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f4a22511b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dor" sheetId="1" r:id="R30b8e012d2d74b58"/>
    <x:sheet xmlns:r="http://schemas.openxmlformats.org/officeDocument/2006/relationships" name="Apoio" sheetId="2" r:id="R4f0482a04fff4eef"/>
  </x:sheets>
  <x:definedNames>
    <x:definedName name="aporte">Simulador!B7</x:definedName>
    <x:definedName name="taxa_mensal">Simulador!B9</x:definedName>
  </x:definedNames>
</x:workbook>
</file>

<file path=xl/sharedStrings.xml><?xml version="1.0" encoding="utf-8"?>
<x:sst xmlns:x="http://schemas.openxmlformats.org/spreadsheetml/2006/main">
  <x:si>
    <x:t xml:space="preserve">SIMULADOR FII | PLANEJE SEUS APORTES</x:t>
  </x:si>
  <x:si>
    <x:t xml:space="preserve">Ferramenta educativa • valores e percentuais fictícios • cenários hipotéticos, sem garantia de retorno</x:t>
  </x:si>
  <x:si>
    <x:t xml:space="preserve">ENTRADAS EDITÁVEIS</x:t>
  </x:si>
  <x:si>
    <x:t xml:space="preserve">Salário mensal (R$)</x:t>
  </x:si>
  <x:si>
    <x:t xml:space="preserve">Perfil de investidor</x:t>
  </x:si>
  <x:si>
    <x:t xml:space="preserve">Aporte informado (R$)</x:t>
  </x:si>
  <x:si>
    <x:t xml:space="preserve">Edite apenas as células amarelas. Sugestão didática: investir 30% do salário.</x:t>
  </x:si>
  <x:si>
    <x:t xml:space="preserve">Prazo (anos)</x:t>
  </x:si>
  <x:si>
    <x:t xml:space="preserve">Retorno total mensal</x:t>
  </x:si>
  <x:si>
    <x:t xml:space="preserve">Yield de dividendos mensal</x:t>
  </x:si>
  <x:si>
    <x:t xml:space="preserve">RESPOSTAS DO SIMULADOR</x:t>
  </x:si>
  <x:si>
    <x:t xml:space="preserve">Quanto investir por mês?</x:t>
  </x:si>
  <x:si>
    <x:t xml:space="preserve">Por quantos anos?</x:t>
  </x:si>
  <x:si>
    <x:t xml:space="preserve">Qual retorno total mensal?</x:t>
  </x:si>
  <x:si>
    <x:t xml:space="preserve">Qual patrimônio estimado?</x:t>
  </x:si>
  <x:si>
    <x:t xml:space="preserve">Dividendos mensais estimados (yield separado do retorno total)</x:t>
  </x:si>
  <x:si>
    <x:t xml:space="preserve">Estimativa; não garantida</x:t>
  </x:si>
  <x:si>
    <x:t xml:space="preserve">Aporte sugerido (30% do salário)</x:t>
  </x:si>
  <x:si>
    <x:t xml:space="preserve">Diferença: informado − sugerido</x:t>
  </x:si>
  <x:si>
    <x:t xml:space="preserve">PATRIMÔNIO E DIVIDENDOS POR HORIZONTE</x:t>
  </x:si>
  <x:si>
    <x:t xml:space="preserve">Patrimônio estimado (R$)</x:t>
  </x:si>
  <x:si>
    <x:t xml:space="preserve">Dividendos mensais estimados (R$)</x:t>
  </x:si>
  <x:si>
    <x:t xml:space="preserve">DIVISÃO DO APORTE POR TIPO DE FII</x:t>
  </x:si>
  <x:si>
    <x:t xml:space="preserve">Tipo de FII</x:t>
  </x:si>
  <x:si>
    <x:t xml:space="preserve">Percentual</x:t>
  </x:si>
  <x:si>
    <x:t xml:space="preserve">Aporte mensal (R$)</x:t>
  </x:si>
  <x:si>
    <x:t xml:space="preserve">Chave de busca</x:t>
  </x:si>
  <x:si>
    <x:t xml:space="preserve">Papel</x:t>
  </x:si>
  <x:si>
    <x:t xml:space="preserve">Tijolo</x:t>
  </x:si>
  <x:si>
    <x:t xml:space="preserve">Híbridos</x:t>
  </x:si>
  <x:si>
    <x:t xml:space="preserve">FOFs</x:t>
  </x:si>
  <x:si>
    <x:t xml:space="preserve">Desenvolvimento</x:t>
  </x:si>
  <x:si>
    <x:t xml:space="preserve">Hotelarias</x:t>
  </x:si>
  <x:si>
    <x:t xml:space="preserve">Total alocado</x:t>
  </x:si>
  <x:si>
    <x:t xml:space="preserve">Nota: a taxa de retorno total mensal serve apenas para projetar o patrimônio no VF. O yield mensal é uma hipótese independente aplicada ao patrimônio para estimar dividendos; os dividendos não são adicionados ao retorno total nesta simulação. Resultados ignoram inflação, impostos, taxas, oscilações, vacância, reinvestimento e mudanças nas distribuições. Isto é material educativo, não recomendação de investimento.</x:t>
  </x:si>
  <x:si>
    <x:t xml:space="preserve">BASE DE APOIO | CHAVE COMPOSTA PERFIL–TIPO</x:t>
  </x:si>
  <x:si>
    <x:t xml:space="preserve">Dados ilustrativos criados para este exercício. A chave combina perfil e tipo de FII, permitindo localizar o percentual com PROCV. Cada perfil soma 100%.</x:t>
  </x:si>
  <x:si>
    <x:t xml:space="preserve">Chave composta</x:t>
  </x:si>
  <x:si>
    <x:t xml:space="preserve">Perfil</x:t>
  </x:si>
  <x:si>
    <x:t xml:space="preserve">Conferência do perfil</x:t>
  </x:si>
  <x:si>
    <x:t xml:space="preserve">Total</x:t>
  </x:si>
  <x:si>
    <x:t xml:space="preserve">Validação</x:t>
  </x:si>
  <x:si>
    <x:t xml:space="preserve">Conservador</x:t>
  </x:si>
  <x:si>
    <x:t xml:space="preserve">Moderado</x:t>
  </x:si>
  <x:si>
    <x:t xml:space="preserve">Agressivo</x:t>
  </x:si>
</x:sst>
</file>

<file path=xl/styles.xml><?xml version="1.0" encoding="utf-8"?>
<x:styleSheet xmlns:x="http://schemas.openxmlformats.org/spreadsheetml/2006/main">
  <x:numFmts count="5">
    <x:numFmt numFmtId="166" formatCode="0\ &quot;anos&quot;"/>
    <x:numFmt numFmtId="168" formatCode="&quot;R$&quot;\ #,##0.00"/>
    <x:numFmt numFmtId="169" formatCode="&quot;R$&quot;\ #,##0"/>
    <x:numFmt numFmtId="170" formatCode="&quot;R$&quot;\ #,##0.00;[Red]\(&quot;R$&quot;\ #,##0.00\);\-"/>
    <x:numFmt numFmtId="171" formatCode="0.0%"/>
  </x:numFmts>
  <x:fonts count="19">
    <x:font>
      <x:sz val="11"/>
      <x:name val="Carlito"/>
    </x:font>
    <x:font>
      <x:b/>
      <x:sz val="18"/>
      <x:color rgb="FFFFFFFF"/>
      <x:name val="Aptos"/>
    </x:font>
    <x:font>
      <x:i/>
      <x:sz val="10"/>
      <x:color rgb="FF365565"/>
      <x:name val="Aptos"/>
    </x:font>
    <x:font>
      <x:b/>
      <x:sz val="11"/>
      <x:color rgb="FFFFFFFF"/>
      <x:name val="Aptos"/>
    </x:font>
    <x:font>
      <x:b/>
      <x:sz val="11"/>
      <x:color rgb="FF156082"/>
      <x:name val="Aptos"/>
    </x:font>
    <x:font>
      <x:sz val="11"/>
      <x:color rgb="FF156082"/>
      <x:name val="Aptos"/>
    </x:font>
    <x:font>
      <x:sz val="10"/>
      <x:color rgb="FF20343D"/>
      <x:name val="Aptos"/>
    </x:font>
    <x:font>
      <x:sz val="10"/>
      <x:color rgb="FF365565"/>
      <x:name val="Aptos"/>
    </x:font>
    <x:font>
      <x:b/>
      <x:sz val="10"/>
      <x:color rgb="FF365565"/>
      <x:name val="Aptos"/>
    </x:font>
    <x:font>
      <x:b/>
      <x:sz val="17"/>
      <x:color rgb="FF123A52"/>
      <x:name val="Aptos"/>
    </x:font>
    <x:font>
      <x:b/>
      <x:sz val="17"/>
      <x:color rgb="FF1B6E5A"/>
      <x:name val="Aptos"/>
    </x:font>
    <x:font>
      <x:i/>
      <x:sz val="10"/>
      <x:color rgb="FF1B6E5A"/>
      <x:name val="Aptos"/>
    </x:font>
    <x:font>
      <x:b/>
      <x:sz val="12"/>
      <x:color rgb="FF123A52"/>
      <x:name val="Aptos"/>
    </x:font>
    <x:font>
      <x:b/>
      <x:sz val="10"/>
      <x:color rgb="FF123A52"/>
      <x:name val="Aptos"/>
    </x:font>
    <x:font>
      <x:sz val="9"/>
      <x:color rgb="FF607985"/>
      <x:name val="Aptos"/>
    </x:font>
    <x:font>
      <x:b/>
      <x:sz val="10"/>
      <x:color rgb="FF1B6E5A"/>
      <x:name val="Aptos"/>
    </x:font>
    <x:font>
      <x:sz val="9"/>
      <x:color rgb="FF604E1F"/>
      <x:name val="Aptos"/>
    </x:font>
    <x:font>
      <x:b/>
      <x:sz val="15"/>
      <x:color rgb="FFFFFFFF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23A52"/>
      </x:patternFill>
    </x:fill>
    <x:fill>
      <x:patternFill patternType="solid">
        <x:fgColor rgb="FFE7F0F3"/>
      </x:patternFill>
    </x:fill>
    <x:fill>
      <x:patternFill patternType="solid">
        <x:fgColor rgb="FF2C7A7B"/>
      </x:patternFill>
    </x:fill>
    <x:fill>
      <x:patternFill patternType="solid">
        <x:fgColor rgb="FFFFF2CC"/>
      </x:patternFill>
    </x:fill>
    <x:fill>
      <x:patternFill patternType="solid">
        <x:fgColor rgb="FFF4F8F8"/>
      </x:patternFill>
    </x:fill>
    <x:fill>
      <x:patternFill patternType="solid">
        <x:fgColor rgb="FFDDEFEA"/>
      </x:patternFill>
    </x:fill>
    <x:fill>
      <x:patternFill patternType="solid">
        <x:fgColor rgb="FFD9E8ED"/>
      </x:patternFill>
    </x:fill>
  </x:fills>
  <x:borders count="8">
    <x:border>
      <x:left/>
      <x:right/>
      <x:top/>
      <x:bottom/>
      <x:diagonal/>
    </x:border>
    <x:border>
      <x:left style="thin">
        <x:color rgb="FFE0E7EB"/>
      </x:left>
      <x:right style="thin">
        <x:color rgb="FFE0E7EB"/>
      </x:right>
      <x:top style="thin">
        <x:color rgb="FFE0E7EB"/>
      </x:top>
      <x:bottom/>
      <x:diagonal/>
    </x:border>
    <x:border>
      <x:left style="thin">
        <x:color rgb="FFE0E7EB"/>
      </x:left>
      <x:right style="thin">
        <x:color rgb="FFE0E7EB"/>
      </x:right>
      <x:top/>
      <x:bottom/>
      <x:diagonal/>
    </x:border>
    <x:border>
      <x:left style="thin">
        <x:color rgb="FFE0E7EB"/>
      </x:left>
      <x:right style="thin">
        <x:color rgb="FFE0E7EB"/>
      </x:right>
      <x:top/>
      <x:bottom style="thin">
        <x:color rgb="FFE0E7EB"/>
      </x:bottom>
      <x:diagonal/>
    </x:border>
    <x:border>
      <x:left/>
      <x:right/>
      <x:top/>
      <x:bottom style="thin">
        <x:color rgb="FFE0E7EB"/>
      </x:bottom>
      <x:diagonal/>
    </x:border>
    <x:border>
      <x:left/>
      <x:right/>
      <x:top style="thin">
        <x:color rgb="FFE0E7EB"/>
      </x:top>
      <x:bottom style="thin">
        <x:color rgb="FFE0E7EB"/>
      </x:bottom>
      <x:diagonal/>
    </x:border>
    <x:border>
      <x:left/>
      <x:right/>
      <x:top style="thin">
        <x:color rgb="FFE0E7EB"/>
      </x:top>
      <x:bottom style="thin">
        <x:color rgb="FFB6C9D0"/>
      </x:bottom>
      <x:diagonal/>
    </x:border>
    <x:border>
      <x:left/>
      <x:right/>
      <x:top style="thin">
        <x:color rgb="FFE0E7EB"/>
      </x:top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3" fillId="4" borderId="0" xfId="0" applyFont="1" applyFill="1" applyAlignment="1">
      <x:alignment vertical="center"/>
    </x:xf>
    <x:xf numFmtId="0" fontId="4" fillId="5" borderId="0" xfId="0" applyFont="1" applyFill="1" applyAlignment="1">
      <x:alignment vertical="center"/>
    </x:xf>
    <x:xf numFmtId="0" fontId="6" fillId="0" borderId="0" xfId="0" applyFont="1" applyAlignment="1">
      <x:alignment vertical="center"/>
    </x:xf>
    <x:xf numFmtId="1" fontId="5" fillId="5" borderId="2" xfId="0" applyNumberFormat="1" applyFont="1" applyFill="1" applyBorder="1" applyAlignment="1">
      <x:alignment horizontal="right"/>
    </x:xf>
    <x:xf numFmtId="10" fontId="5" fillId="5" borderId="2" xfId="0" applyNumberFormat="1" applyFont="1" applyFill="1" applyBorder="1" applyAlignment="1">
      <x:alignment horizontal="right"/>
    </x:xf>
    <x:xf numFmtId="10" fontId="5" fillId="5" borderId="3" xfId="0" applyNumberFormat="1" applyFont="1" applyFill="1" applyBorder="1" applyAlignment="1">
      <x:alignment horizontal="right"/>
    </x:xf>
    <x:xf numFmtId="168" fontId="5" fillId="5" borderId="1" xfId="0" applyNumberFormat="1" applyFont="1" applyFill="1" applyBorder="1" applyAlignment="1">
      <x:alignment horizontal="right"/>
    </x:xf>
    <x:xf numFmtId="168" fontId="5" fillId="5" borderId="2" xfId="0" applyNumberFormat="1" applyFont="1" applyFill="1" applyBorder="1" applyAlignment="1">
      <x:alignment horizontal="right"/>
    </x:xf>
    <x:xf numFmtId="0" fontId="13" fillId="8" borderId="4" xfId="0" applyFont="1" applyFill="1" applyBorder="1" applyAlignment="1">
      <x:alignment horizontal="center" vertical="center" wrapText="1"/>
    </x:xf>
    <x:xf numFmtId="0" fontId="13" fillId="3" borderId="7" xfId="0" applyFont="1" applyFill="1" applyBorder="1"/>
    <x:xf numFmtId="171" fontId="13" fillId="3" borderId="7" xfId="0" applyNumberFormat="1" applyFont="1" applyFill="1" applyBorder="1"/>
    <x:xf numFmtId="0" fontId="14" fillId="0" borderId="7" xfId="0" applyFont="1" applyBorder="1"/>
    <x:xf numFmtId="168" fontId="13" fillId="3" borderId="7" xfId="0" applyNumberFormat="1" applyFont="1" applyFill="1" applyBorder="1"/>
    <x:xf numFmtId="0" fontId="18" fillId="4" borderId="0" xfId="0" applyFont="1" applyFill="1" applyAlignment="1">
      <x:alignment horizontal="center"/>
    </x:xf>
    <x:xf numFmtId="0" fontId="18" fillId="4" borderId="4" xfId="0" applyFont="1" applyFill="1" applyBorder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vertical="center"/>
    </x:xf>
    <x:xf numFmtId="0" fontId="3" fillId="4" borderId="0" xfId="0" applyFont="1" applyFill="1" applyAlignment="1">
      <x:alignment vertical="center"/>
    </x:xf>
    <x:xf numFmtId="0" fontId="7" fillId="6" borderId="0" xfId="0" applyFont="1" applyFill="1" applyAlignment="1">
      <x:alignment vertical="center" wrapText="1"/>
    </x:xf>
    <x:xf numFmtId="0" fontId="3" fillId="2" borderId="0" xfId="0" applyFont="1" applyFill="1" applyAlignment="1">
      <x:alignment vertical="center"/>
    </x:xf>
    <x:xf numFmtId="0" fontId="8" fillId="3" borderId="0" xfId="0" applyFont="1" applyFill="1" applyAlignment="1">
      <x:alignment horizontal="center" vertical="center" wrapText="1"/>
    </x:xf>
    <x:xf numFmtId="169" fontId="9" fillId="6" borderId="0" xfId="0" applyNumberFormat="1" applyFont="1" applyFill="1" applyAlignment="1">
      <x:alignment horizontal="center" vertical="center"/>
    </x:xf>
    <x:xf numFmtId="166" fontId="9" fillId="6" borderId="0" xfId="0" applyNumberFormat="1" applyFont="1" applyFill="1" applyAlignment="1">
      <x:alignment horizontal="center" vertical="center"/>
    </x:xf>
    <x:xf numFmtId="10" fontId="9" fillId="6" borderId="0" xfId="0" applyNumberFormat="1" applyFont="1" applyFill="1" applyAlignment="1">
      <x:alignment horizontal="center" vertical="center"/>
    </x:xf>
    <x:xf numFmtId="0" fontId="8" fillId="3" borderId="0" xfId="0" applyFont="1" applyFill="1" applyAlignment="1">
      <x:alignment vertical="center"/>
    </x:xf>
    <x:xf numFmtId="169" fontId="10" fillId="7" borderId="0" xfId="0" applyNumberFormat="1" applyFont="1" applyFill="1" applyAlignment="1">
      <x:alignment horizontal="center" vertical="center"/>
    </x:xf>
    <x:xf numFmtId="0" fontId="11" fillId="7" borderId="0" xfId="0" applyFont="1" applyFill="1" applyAlignment="1">
      <x:alignment vertical="center"/>
    </x:xf>
    <x:xf numFmtId="0" fontId="7" fillId="0" borderId="0" xfId="0" applyFont="1"/>
    <x:xf numFmtId="168" fontId="12" fillId="3" borderId="0" xfId="0" applyNumberFormat="1" applyFont="1" applyFill="1" applyAlignment="1">
      <x:alignment horizontal="center"/>
    </x:xf>
    <x:xf numFmtId="170" fontId="12" fillId="3" borderId="0" xfId="0" applyNumberFormat="1" applyFont="1" applyFill="1" applyAlignment="1">
      <x:alignment horizontal="center"/>
    </x:xf>
    <x:xf numFmtId="0" fontId="15" fillId="7" borderId="0" xfId="0" applyFont="1" applyFill="1"/>
    <x:xf numFmtId="0" fontId="16" fillId="5" borderId="0" xfId="0" applyFont="1" applyFill="1" applyAlignment="1">
      <x:alignment vertical="center" wrapText="1"/>
    </x:xf>
    <x:xf numFmtId="0" fontId="17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6" fillId="0" borderId="0" xfId="0" applyFont="1" applyAlignment="1">
      <x:alignment horizontal="center"/>
    </x:xf>
    <x:xf numFmtId="171" fontId="6" fillId="0" borderId="0" xfId="0" applyNumberFormat="1" applyFont="1" applyAlignment="1">
      <x:alignment horizontal="center"/>
    </x:xf>
    <x:xf numFmtId="0" fontId="6" fillId="0" borderId="5" xfId="0" applyFont="1" applyBorder="1" applyAlignment="1">
      <x:alignment horizontal="center" vertical="center"/>
    </x:xf>
    <x:xf numFmtId="171" fontId="6" fillId="0" borderId="5" xfId="0" applyNumberFormat="1" applyFont="1" applyBorder="1" applyAlignment="1">
      <x:alignment horizontal="center" vertical="center"/>
    </x:xf>
    <x:xf numFmtId="0" fontId="6" fillId="0" borderId="7" xfId="0" applyFont="1" applyBorder="1" applyAlignment="1">
      <x:alignment horizontal="center" vertical="center"/>
    </x:xf>
    <x:xf numFmtId="171" fontId="6" fillId="0" borderId="7" xfId="0" applyNumberFormat="1" applyFont="1" applyBorder="1" applyAlignment="1">
      <x:alignment horizontal="center" vertical="center"/>
    </x:xf>
    <x:xf numFmtId="168" fontId="6" fillId="0" borderId="5" xfId="0" applyNumberFormat="1" applyFont="1" applyBorder="1" applyAlignment="1">
      <x:alignment horizontal="center" vertical="center"/>
    </x:xf>
    <x:xf numFmtId="0" fontId="14" fillId="0" borderId="5" xfId="0" applyFont="1" applyBorder="1" applyAlignment="1">
      <x:alignment horizontal="center" vertical="center"/>
    </x:xf>
    <x:xf numFmtId="169" fontId="6" fillId="0" borderId="5" xfId="0" applyNumberFormat="1" applyFont="1" applyBorder="1" applyAlignment="1">
      <x:alignment horizontal="center" vertical="center"/>
    </x:xf>
    <x:xf numFmtId="0" fontId="6" fillId="0" borderId="6" xfId="0" applyFont="1" applyBorder="1" applyAlignment="1">
      <x:alignment horizontal="center" vertical="center"/>
    </x:xf>
    <x:xf numFmtId="169" fontId="6" fillId="0" borderId="6" xfId="0" applyNumberFormat="1" applyFont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5bb0c1ee84a8f" /><Relationship Type="http://schemas.openxmlformats.org/officeDocument/2006/relationships/theme" Target="/xl/theme/theme1.xml" Id="R99afb0e58100465e" /><Relationship Type="http://schemas.openxmlformats.org/officeDocument/2006/relationships/sharedStrings" Target="/xl/sharedStrings.xml" Id="R0f7bec9e392241c0" /><Relationship Type="http://schemas.openxmlformats.org/officeDocument/2006/relationships/worksheet" Target="/xl/worksheets/sheet1.xml" Id="R30b8e012d2d74b58" /><Relationship Type="http://schemas.openxmlformats.org/officeDocument/2006/relationships/worksheet" Target="/xl/worksheets/sheet2.xml" Id="R4f0482a04fff4e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9c199b03a04be3" /><Relationship Type="http://schemas.openxmlformats.org/officeDocument/2006/relationships/chart" Target="/xl/drawings/charts/chart2.xml" Id="Rf5994f8fef5147ee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ptos"/>
                <a:ea typeface="Aptos"/>
                <a:cs typeface="Aptos"/>
              </a:rPr>
              <a:t>Alocação do perfil selecionado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ptos"/>
              <a:ea typeface="Aptos"/>
              <a:cs typeface="Aptos"/>
            </a:defRPr>
          </a:pPr>
        </a:p>
      </c:txPr>
    </c:title>
    <c:autoTitleDeleted val="0"/>
    <c:plotArea>
      <c:doughnutChart>
        <c:ser>
          <c:idx val="0"/>
          <c:order val="0"/>
          <c:tx>
            <c:v>Percentual</c:v>
          </c:tx>
          <c:cat>
            <c:strRef>
              <c:f>Simulador!$A$33:$A$38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Simulador!$B$33:$B$38</c:f>
              <c:numCache>
                <c:formatCode>0.0%</c:formatCode>
                <c:ptCount val="6"/>
                <c:pt idx="0">
                  <c:v>0.4</c:v>
                </c:pt>
                <c:pt idx="1">
                  <c:v>0.4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  <c:dispBlanksAs val="zero"/>
    <c:showDLblsOverMax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ptos"/>
                <a:ea typeface="Aptos"/>
                <a:cs typeface="Aptos"/>
              </a:rPr>
              <a:t>Patrimônio estimado por prazo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ptos"/>
              <a:ea typeface="Aptos"/>
              <a:cs typeface="Aptos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Patrimônio estimado (R$)</c:v>
          </c:tx>
          <c:marker>
            <c:symbol val="none"/>
          </c:marker>
          <c:cat>
            <c:numRef>
              <c:f>Simulador!$A$24:$A$28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Simulador!$B$24:$B$28</c:f>
              <c:numCache>
                <c:formatCode>"R$"\ #,##0</c:formatCode>
                <c:ptCount val="5"/>
                <c:pt idx="0">
                  <c:v>52686.31022223913</c:v>
                </c:pt>
                <c:pt idx="1">
                  <c:v>153247.73366376045</c:v>
                </c:pt>
                <c:pt idx="2">
                  <c:v>400434.93881983624</c:v>
                </c:pt>
                <c:pt idx="3">
                  <c:v>1442262.4385502567</c:v>
                </c:pt>
                <c:pt idx="4">
                  <c:v>4152826.4627421703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\R\$\ 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21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9c199b03a04be3"/>
        </a:graphicData>
      </a:graphic>
    </xdr:graphicFrame>
    <xdr:clientData/>
  </xdr:twoCellAnchor>
  <xdr:twoCellAnchor>
    <xdr:from>
      <xdr:col>5</xdr:col>
      <xdr:colOff>0</xdr:colOff>
      <xdr:row>37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994f8fef5147e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406c18cf884224" /></Relationships>
</file>

<file path=xl/worksheets/sheet1.xml><?xml version="1.0" encoding="utf-8"?>
<x:worksheet xmlns:x="http://schemas.openxmlformats.org/spreadsheetml/2006/main">
  <x:sheetPr>
    <x:tabColor rgb="FF123A52"/>
  </x:sheetPr>
  <x:sheetViews>
    <x:sheetView showGridLines="0" workbookViewId="0">
      <x:pane ySplit="3" topLeftCell="A4" activePane="bottomLeft" state="frozen"/>
    </x:sheetView>
  </x:sheetViews>
  <x:sheetFormatPr defaultRowHeight="13.800000190734863"/>
  <x:cols>
    <x:col min="1" max="1" width="26" customWidth="1"/>
    <x:col min="2" max="2" width="18" customWidth="1"/>
    <x:col min="3" max="3" width="15" customWidth="1"/>
    <x:col min="4" max="4" width="25" customWidth="1"/>
    <x:col min="5" max="5" width="20" customWidth="1"/>
    <x:col min="6" max="6" width="16" customWidth="1"/>
    <x:col min="7" max="7" width="18" customWidth="1"/>
    <x:col min="8" max="8" width="16" customWidth="1"/>
    <x:col min="9" max="12" width="13" customWidth="1"/>
  </x:cols>
  <x:sheetData>
    <x:row r="1" ht="27" customHeight="1">
      <x:c r="A1" s="16" t="s">
        <x:v>0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 ht="24" customHeight="1">
      <x:c r="A3" s="17" t="s">
        <x:v>1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5" ht="14.399999618530273">
      <x:c r="A5" s="18" t="s">
        <x:v>2</x:v>
      </x:c>
      <x:c r="B5" s="18"/>
    </x:row>
    <x:row r="6" ht="14.399999618530273">
      <x:c r="A6" s="3" t="s">
        <x:v>3</x:v>
      </x:c>
      <x:c r="B6" s="7">
        <x:v>4000</x:v>
      </x:c>
      <x:c r="D6" s="1" t="s">
        <x:v>4</x:v>
      </x:c>
      <x:c r="E6" s="2" t="str">
        <x:v>Conservador</x:v>
      </x:c>
    </x:row>
    <x:row r="7" ht="14.399999618530273">
      <x:c r="A7" s="3" t="s">
        <x:v>5</x:v>
      </x:c>
      <x:c r="B7" s="8">
        <x:v>2000</x:v>
      </x:c>
      <x:c r="D7" s="19" t="s">
        <x:v>6</x:v>
      </x:c>
      <x:c r="E7" s="19"/>
      <x:c r="F7" s="19"/>
      <x:c r="G7" s="19"/>
    </x:row>
    <x:row r="8" ht="14.399999618530273">
      <x:c r="A8" s="3" t="s">
        <x:v>7</x:v>
      </x:c>
      <x:c r="B8" s="4">
        <x:v>20</x:v>
      </x:c>
      <x:c r="D8" s="19"/>
      <x:c r="E8" s="19"/>
      <x:c r="F8" s="19"/>
      <x:c r="G8" s="19"/>
    </x:row>
    <x:row r="9" ht="14.399999618530273">
      <x:c r="A9" s="3" t="s">
        <x:v>8</x:v>
      </x:c>
      <x:c r="B9" s="5">
        <x:v>8.0000000000000002E-3</x:v>
      </x:c>
      <x:c r="D9" s="19"/>
      <x:c r="E9" s="19"/>
      <x:c r="F9" s="19"/>
      <x:c r="G9" s="19"/>
    </x:row>
    <x:row r="10" ht="14.399999618530273">
      <x:c r="A10" s="3" t="s">
        <x:v>9</x:v>
      </x:c>
      <x:c r="B10" s="6">
        <x:v>6.0000000000000001E-3</x:v>
      </x:c>
      <x:c r="D10" s="19"/>
      <x:c r="E10" s="19"/>
      <x:c r="F10" s="19"/>
      <x:c r="G10" s="19"/>
    </x:row>
    <x:row r="12" ht="14.399999618530273">
      <x:c r="A12" s="20" t="s">
        <x:v>10</x:v>
      </x:c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</x:row>
    <x:row r="13">
      <x:c r="A13" s="21" t="s">
        <x:v>11</x:v>
      </x:c>
      <x:c r="B13" s="21"/>
      <x:c r="C13" s="21"/>
      <x:c r="D13" s="21" t="s">
        <x:v>12</x:v>
      </x:c>
      <x:c r="E13" s="21"/>
      <x:c r="F13" s="21"/>
      <x:c r="G13" s="21" t="s">
        <x:v>13</x:v>
      </x:c>
      <x:c r="H13" s="21"/>
      <x:c r="I13" s="21"/>
      <x:c r="J13" s="21" t="s">
        <x:v>14</x:v>
      </x:c>
      <x:c r="K13" s="21"/>
      <x:c r="L13" s="21"/>
    </x:row>
    <x:row r="14">
      <x:c r="A14" s="22" t="n">
        <x:f>B7</x:f>
        <x:v>2000</x:v>
      </x:c>
      <x:c r="B14" s="22"/>
      <x:c r="C14" s="22"/>
      <x:c r="D14" s="23" t="n">
        <x:f>B8</x:f>
        <x:v>20</x:v>
      </x:c>
      <x:c r="E14" s="23"/>
      <x:c r="F14" s="23"/>
      <x:c r="G14" s="24" t="n">
        <x:f>B9</x:f>
        <x:v>0.008</x:v>
      </x:c>
      <x:c r="H14" s="24"/>
      <x:c r="I14" s="24"/>
      <x:c r="J14" s="22" t="n">
        <x:f>FV(B9,B8*12,-B7,0,0)</x:f>
        <x:v>1442262.4385502418</x:v>
      </x:c>
      <x:c r="K14" s="22"/>
      <x:c r="L14" s="22"/>
    </x:row>
    <x:row r="15">
      <x:c r="A15" s="22"/>
      <x:c r="B15" s="22"/>
      <x:c r="C15" s="22"/>
      <x:c r="D15" s="23"/>
      <x:c r="E15" s="23"/>
      <x:c r="F15" s="23"/>
      <x:c r="G15" s="24"/>
      <x:c r="H15" s="24"/>
      <x:c r="I15" s="24"/>
      <x:c r="J15" s="22"/>
      <x:c r="K15" s="22"/>
      <x:c r="L15" s="22"/>
    </x:row>
    <x:row r="17" ht="34.04999923706055" customHeight="1">
      <x:c r="A17" s="25" t="s">
        <x:v>15</x:v>
      </x:c>
      <x:c r="B17" s="25"/>
      <x:c r="C17" s="25"/>
      <x:c r="D17" s="25"/>
      <x:c r="E17" s="25"/>
      <x:c r="F17" s="25"/>
      <x:c r="G17" s="26" t="n">
        <x:f>J14*B10</x:f>
        <x:v>8653.574631301452</x:v>
      </x:c>
      <x:c r="H17" s="26"/>
      <x:c r="I17" s="27" t="s">
        <x:v>16</x:v>
      </x:c>
      <x:c r="J17" s="27"/>
      <x:c r="K17" s="27"/>
      <x:c r="L17" s="27"/>
    </x:row>
    <x:row r="19" ht="15.600000381469727">
      <x:c r="A19" s="28" t="s">
        <x:v>17</x:v>
      </x:c>
      <x:c r="B19" s="28"/>
      <x:c r="C19" s="28"/>
      <x:c r="D19" s="28"/>
      <x:c r="E19" s="29" t="n">
        <x:f>B6*30%</x:f>
        <x:v>1200</x:v>
      </x:c>
      <x:c r="F19" s="29"/>
      <x:c r="G19" s="28" t="s">
        <x:v>18</x:v>
      </x:c>
      <x:c r="H19" s="28"/>
      <x:c r="I19" s="28"/>
      <x:c r="J19" s="30" t="n">
        <x:f>B7-E19</x:f>
        <x:v>800</x:v>
      </x:c>
      <x:c r="K19" s="30"/>
      <x:c r="L19" s="30"/>
    </x:row>
    <x:row r="22" ht="14.399999618530273">
      <x:c r="A22" s="20" t="s">
        <x:v>19</x:v>
      </x:c>
      <x:c r="B22" s="20"/>
      <x:c r="C22" s="20"/>
      <x:c r="D22" s="20"/>
    </x:row>
    <x:row r="23" ht="41.400001525878906">
      <x:c r="A23" s="9" t="s">
        <x:v>7</x:v>
      </x:c>
      <x:c r="B23" s="9" t="s">
        <x:v>20</x:v>
      </x:c>
      <x:c r="C23" s="9" t="s">
        <x:v>21</x:v>
      </x:c>
    </x:row>
    <x:row r="24">
      <x:c r="A24" s="37">
        <x:v>2</x:v>
      </x:c>
      <x:c r="B24" s="43" t="n">
        <x:f>FV($B$9,A24*12,-B7,0,0)</x:f>
        <x:v>52686.31022223885</x:v>
      </x:c>
      <x:c r="C24" s="43" t="n">
        <x:f>B24*$B$10</x:f>
        <x:v>316.1178613334331</x:v>
      </x:c>
    </x:row>
    <x:row r="25">
      <x:c r="A25" s="37">
        <x:v>5</x:v>
      </x:c>
      <x:c r="B25" s="43" t="n">
        <x:f>FV($B$9,A25*12,-B7,0,0)</x:f>
        <x:v>153247.73366375954</x:v>
      </x:c>
      <x:c r="C25" s="43" t="n">
        <x:f>B25*$B$10</x:f>
        <x:v>919.4864019825573</x:v>
      </x:c>
    </x:row>
    <x:row r="26">
      <x:c r="A26" s="37">
        <x:v>10</x:v>
      </x:c>
      <x:c r="B26" s="43" t="n">
        <x:f>FV($B$9,A26*12,-B7,0,0)</x:f>
        <x:v>400434.9388198334</x:v>
      </x:c>
      <x:c r="C26" s="43" t="n">
        <x:f>B26*$B$10</x:f>
        <x:v>2402.6096329190004</x:v>
      </x:c>
    </x:row>
    <x:row r="27">
      <x:c r="A27" s="37">
        <x:v>20</x:v>
      </x:c>
      <x:c r="B27" s="43" t="n">
        <x:f>FV($B$9,A27*12,-B7,0,0)</x:f>
        <x:v>1442262.4385502418</x:v>
      </x:c>
      <x:c r="C27" s="43" t="n">
        <x:f>B27*$B$10</x:f>
        <x:v>8653.574631301452</x:v>
      </x:c>
    </x:row>
    <x:row r="28">
      <x:c r="A28" s="44">
        <x:v>30</x:v>
      </x:c>
      <x:c r="B28" s="45" t="n">
        <x:f>FV($B$9,A28*12,-B7,0,0)</x:f>
        <x:v>4152826.462742114</x:v>
      </x:c>
      <x:c r="C28" s="45" t="n">
        <x:f>B28*$B$10</x:f>
        <x:v>24916.958776452684</x:v>
      </x:c>
    </x:row>
    <x:row r="31" ht="14.399999618530273">
      <x:c r="A31" s="20" t="s">
        <x:v>22</x:v>
      </x:c>
      <x:c r="B31" s="20"/>
      <x:c r="C31" s="20"/>
      <x:c r="D31" s="20"/>
    </x:row>
    <x:row r="32" ht="27.600000381469727">
      <x:c r="A32" s="9" t="s">
        <x:v>23</x:v>
      </x:c>
      <x:c r="B32" s="9" t="s">
        <x:v>24</x:v>
      </x:c>
      <x:c r="C32" s="9" t="s">
        <x:v>25</x:v>
      </x:c>
      <x:c r="D32" s="9" t="s">
        <x:v>26</x:v>
      </x:c>
    </x:row>
    <x:row r="33">
      <x:c r="A33" s="37" t="s">
        <x:v>27</x:v>
      </x:c>
      <x:c r="B33" s="38" t="n">
        <x:f>VLOOKUP($E$6&amp;"-"&amp;A33,Apoio!$A$6:$D$23,4,FALSE)</x:f>
        <x:v>0.4</x:v>
      </x:c>
      <x:c r="C33" s="41" t="n">
        <x:f t="shared" ref="C33:C38" si="0">B33*$B$7</x:f>
        <x:v>800</x:v>
      </x:c>
      <x:c r="D33" s="42" t="str">
        <x:f t="shared" ref="D33:D38" si="1">$E$6&amp;"-"&amp;A33</x:f>
        <x:v>Conservador-Papel</x:v>
      </x:c>
    </x:row>
    <x:row r="34">
      <x:c r="A34" s="37" t="s">
        <x:v>28</x:v>
      </x:c>
      <x:c r="B34" s="38" t="n">
        <x:f>VLOOKUP($E$6&amp;"-"&amp;A34,Apoio!$A$6:$D$23,4,FALSE)</x:f>
        <x:v>0.4</x:v>
      </x:c>
      <x:c r="C34" s="41">
        <x:f t="shared" si="0"/>
        <x:v>800</x:v>
      </x:c>
      <x:c r="D34" s="42" t="str">
        <x:f t="shared" si="1"/>
        <x:v>Conservador-Tijolo</x:v>
      </x:c>
    </x:row>
    <x:row r="35">
      <x:c r="A35" s="37" t="s">
        <x:v>29</x:v>
      </x:c>
      <x:c r="B35" s="38" t="n">
        <x:f>VLOOKUP($E$6&amp;"-"&amp;A35,Apoio!$A$6:$D$23,4,FALSE)</x:f>
        <x:v>0.1</x:v>
      </x:c>
      <x:c r="C35" s="41">
        <x:f t="shared" si="0"/>
        <x:v>200</x:v>
      </x:c>
      <x:c r="D35" s="42" t="str">
        <x:f t="shared" si="1"/>
        <x:v>Conservador-Híbridos</x:v>
      </x:c>
    </x:row>
    <x:row r="36">
      <x:c r="A36" s="37" t="s">
        <x:v>30</x:v>
      </x:c>
      <x:c r="B36" s="38" t="n">
        <x:f>VLOOKUP($E$6&amp;"-"&amp;A36,Apoio!$A$6:$D$23,4,FALSE)</x:f>
        <x:v>0.1</x:v>
      </x:c>
      <x:c r="C36" s="41">
        <x:f t="shared" si="0"/>
        <x:v>200</x:v>
      </x:c>
      <x:c r="D36" s="42" t="str">
        <x:f t="shared" si="1"/>
        <x:v>Conservador-FOFs</x:v>
      </x:c>
    </x:row>
    <x:row r="37">
      <x:c r="A37" s="37" t="s">
        <x:v>31</x:v>
      </x:c>
      <x:c r="B37" s="38" t="n">
        <x:f>VLOOKUP($E$6&amp;"-"&amp;A37,Apoio!$A$6:$D$23,4,FALSE)</x:f>
        <x:v>0</x:v>
      </x:c>
      <x:c r="C37" s="41">
        <x:f t="shared" si="0"/>
        <x:v>0</x:v>
      </x:c>
      <x:c r="D37" s="42" t="str">
        <x:f t="shared" si="1"/>
        <x:v>Conservador-Desenvolvimento</x:v>
      </x:c>
    </x:row>
    <x:row r="38">
      <x:c r="A38" s="37" t="s">
        <x:v>32</x:v>
      </x:c>
      <x:c r="B38" s="38" t="n">
        <x:f>VLOOKUP($E$6&amp;"-"&amp;A38,Apoio!$A$6:$D$23,4,FALSE)</x:f>
        <x:v>0</x:v>
      </x:c>
      <x:c r="C38" s="41">
        <x:f t="shared" si="0"/>
        <x:v>0</x:v>
      </x:c>
      <x:c r="D38" s="42" t="str">
        <x:f t="shared" si="1"/>
        <x:v>Conservador-Hotelarias</x:v>
      </x:c>
    </x:row>
    <x:row r="39" ht="14.399999618530273">
      <x:c r="A39" s="10" t="s">
        <x:v>33</x:v>
      </x:c>
      <x:c r="B39" s="11" t="n">
        <x:f>SUM(B33:B38)</x:f>
        <x:v>1</x:v>
      </x:c>
      <x:c r="C39" s="13" t="n">
        <x:f>SUM(C33:C38)</x:f>
        <x:v>2000</x:v>
      </x:c>
      <x:c r="D39" s="12"/>
    </x:row>
    <x:row r="40" ht="14.399999618530273">
      <x:c r="A40" s="31" t="str">
        <x:f>IF(ABS(B39-100%)&lt;0.000001,"Alocação total: 100% ✓","Revise: percentuais diferentes de 100%")</x:f>
        <x:v>Alocação total: 100% ✓</x:v>
      </x:c>
      <x:c r="B40" s="31"/>
      <x:c r="C40" s="31"/>
      <x:c r="D40" s="31"/>
    </x:row>
    <x:row r="45" ht="25.049999237060547" customHeight="1">
      <x:c r="A45" s="32" t="s">
        <x:v>34</x:v>
      </x:c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 ht="25.049999237060547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</x:sheetData>
  <x:mergeCells>
    <x:mergeCell ref="A31:D31"/>
    <x:mergeCell ref="A40:D40"/>
    <x:mergeCell ref="A45:L46"/>
    <x:mergeCell ref="A19:D19"/>
    <x:mergeCell ref="E19:F19"/>
    <x:mergeCell ref="G19:I19"/>
    <x:mergeCell ref="J19:L19"/>
    <x:mergeCell ref="A22:D22"/>
    <x:mergeCell ref="A14:C15"/>
    <x:mergeCell ref="D14:F15"/>
    <x:mergeCell ref="G14:I15"/>
    <x:mergeCell ref="J14:L15"/>
    <x:mergeCell ref="A17:F17"/>
    <x:mergeCell ref="G17:H17"/>
    <x:mergeCell ref="I17:L17"/>
    <x:mergeCell ref="D9:G9"/>
    <x:mergeCell ref="D10:G10"/>
    <x:mergeCell ref="A12:L12"/>
    <x:mergeCell ref="A13:C13"/>
    <x:mergeCell ref="D13:F13"/>
    <x:mergeCell ref="G13:I13"/>
    <x:mergeCell ref="J13:L13"/>
    <x:mergeCell ref="A1:L2"/>
    <x:mergeCell ref="A3:L3"/>
    <x:mergeCell ref="A5:B5"/>
    <x:mergeCell ref="D7:G7"/>
    <x:mergeCell ref="D8:G8"/>
  </x:mergeCells>
  <x:dataValidations count="4">
    <x:dataValidation type="list" sqref="E6">
      <x:formula1>"Conservador,Moderado,Agressivo"</x:formula1>
    </x:dataValidation>
    <x:dataValidation type="decimal" sqref="B6:B7">
      <x:formula1>0</x:formula1>
      <x:formula2>1000000</x:formula2>
    </x:dataValidation>
    <x:dataValidation type="whole" sqref="B8">
      <x:formula1>1</x:formula1>
      <x:formula2>60</x:formula2>
    </x:dataValidation>
    <x:dataValidation type="decimal" sqref="B9:B10">
      <x:formula1>0</x:formula1>
      <x:formula2>0.1</x:formula2>
    </x:dataValidation>
  </x:dataValidations>
  <x:pageMargins left="0.7" right="0.7" top="0.75" bottom="0.75" header="0.3" footer="0.3"/>
  <x:drawing xmlns:r="http://schemas.openxmlformats.org/officeDocument/2006/relationships" r:id="Rd1406c18cf884224"/>
</x:worksheet>
</file>

<file path=xl/worksheets/sheet2.xml><?xml version="1.0" encoding="utf-8"?>
<x:worksheet xmlns:x="http://schemas.openxmlformats.org/spreadsheetml/2006/main">
  <x:sheetPr>
    <x:tabColor rgb="FF2C7A7B"/>
  </x:sheetPr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24" customWidth="1"/>
    <x:col min="2" max="2" width="18" customWidth="1"/>
    <x:col min="3" max="3" width="20" customWidth="1"/>
    <x:col min="4" max="4" width="15" customWidth="1"/>
    <x:col min="5" max="5" width="3" customWidth="1"/>
    <x:col min="6" max="6" width="25" customWidth="1"/>
    <x:col min="7" max="8" width="15" customWidth="1"/>
  </x:cols>
  <x:sheetData>
    <x:row r="1" ht="19.799999237060547">
      <x:c r="A1" s="33" t="s">
        <x:v>35</x:v>
      </x:c>
      <x:c r="B1" s="33"/>
      <x:c r="C1" s="33"/>
      <x:c r="D1" s="33"/>
      <x:c r="E1" s="33"/>
      <x:c r="F1" s="33"/>
    </x:row>
    <x:row r="2">
      <x:c r="A2" s="34" t="s">
        <x:v>36</x:v>
      </x:c>
      <x:c r="B2" s="34"/>
      <x:c r="C2" s="34"/>
      <x:c r="D2" s="34"/>
      <x:c r="E2" s="34"/>
      <x:c r="F2" s="34"/>
    </x:row>
    <x:row r="3">
      <x:c r="A3" s="34"/>
      <x:c r="B3" s="34"/>
      <x:c r="C3" s="34"/>
      <x:c r="D3" s="34"/>
      <x:c r="E3" s="34"/>
      <x:c r="F3" s="34"/>
    </x:row>
    <x:row r="5" ht="14.399999618530273">
      <x:c r="A5" s="15" t="s">
        <x:v>37</x:v>
      </x:c>
      <x:c r="B5" s="15" t="s">
        <x:v>38</x:v>
      </x:c>
      <x:c r="C5" s="15" t="s">
        <x:v>23</x:v>
      </x:c>
      <x:c r="D5" s="15" t="s">
        <x:v>24</x:v>
      </x:c>
      <x:c r="F5" s="14" t="s">
        <x:v>39</x:v>
      </x:c>
      <x:c r="G5" s="14" t="s">
        <x:v>40</x:v>
      </x:c>
      <x:c r="H5" s="14" t="s">
        <x:v>41</x:v>
      </x:c>
    </x:row>
    <x:row r="6" ht="14.399999618530273">
      <x:c r="A6" s="37" t="str">
        <x:f>B6&amp;"-"&amp;C6</x:f>
        <x:v>Conservador-Papel</x:v>
      </x:c>
      <x:c r="B6" s="37" t="s">
        <x:v>42</x:v>
      </x:c>
      <x:c r="C6" s="37" t="s">
        <x:v>27</x:v>
      </x:c>
      <x:c r="D6" s="38">
        <x:v>0.4</x:v>
      </x:c>
      <x:c r="F6" s="35" t="s">
        <x:v>42</x:v>
      </x:c>
      <x:c r="G6" s="36" t="n">
        <x:f>SUMIF($B$6:$B$23,F6,$D$6:$D$23)</x:f>
        <x:v>1</x:v>
      </x:c>
      <x:c r="H6" s="35" t="str">
        <x:f>IF(ABS(G6-100%)&lt;0.000001,"OK","REVISAR")</x:f>
        <x:v>OK</x:v>
      </x:c>
    </x:row>
    <x:row r="7" ht="14.399999618530273">
      <x:c r="A7" s="37" t="str">
        <x:f t="shared" ref="A7:A23" si="0">B7&amp;"-"&amp;C7</x:f>
        <x:v>Conservador-Tijolo</x:v>
      </x:c>
      <x:c r="B7" s="37" t="s">
        <x:v>42</x:v>
      </x:c>
      <x:c r="C7" s="37" t="s">
        <x:v>28</x:v>
      </x:c>
      <x:c r="D7" s="38">
        <x:v>0.4</x:v>
      </x:c>
      <x:c r="F7" s="35" t="s">
        <x:v>43</x:v>
      </x:c>
      <x:c r="G7" s="36" t="n">
        <x:f>SUMIF($B$6:$B$23,F7,$D$6:$D$23)</x:f>
        <x:v>1</x:v>
      </x:c>
      <x:c r="H7" s="35" t="str">
        <x:f>IF(ABS(G7-100%)&lt;0.000001,"OK","REVISAR")</x:f>
        <x:v>OK</x:v>
      </x:c>
    </x:row>
    <x:row r="8" ht="14.399999618530273">
      <x:c r="A8" s="37" t="str">
        <x:f t="shared" si="0"/>
        <x:v>Conservador-Híbridos</x:v>
      </x:c>
      <x:c r="B8" s="37" t="s">
        <x:v>42</x:v>
      </x:c>
      <x:c r="C8" s="37" t="s">
        <x:v>29</x:v>
      </x:c>
      <x:c r="D8" s="38">
        <x:v>0.1</x:v>
      </x:c>
      <x:c r="F8" s="35" t="s">
        <x:v>44</x:v>
      </x:c>
      <x:c r="G8" s="36" t="n">
        <x:f>SUMIF($B$6:$B$23,F8,$D$6:$D$23)</x:f>
        <x:v>1</x:v>
      </x:c>
      <x:c r="H8" s="35" t="str">
        <x:f>IF(ABS(G8-100%)&lt;0.000001,"OK","REVISAR")</x:f>
        <x:v>OK</x:v>
      </x:c>
    </x:row>
    <x:row r="9">
      <x:c r="A9" s="37" t="str">
        <x:f t="shared" si="0"/>
        <x:v>Conservador-FOFs</x:v>
      </x:c>
      <x:c r="B9" s="37" t="s">
        <x:v>42</x:v>
      </x:c>
      <x:c r="C9" s="37" t="s">
        <x:v>30</x:v>
      </x:c>
      <x:c r="D9" s="38">
        <x:v>0.1</x:v>
      </x:c>
    </x:row>
    <x:row r="10">
      <x:c r="A10" s="37" t="str">
        <x:f t="shared" si="0"/>
        <x:v>Conservador-Desenvolvimento</x:v>
      </x:c>
      <x:c r="B10" s="37" t="s">
        <x:v>42</x:v>
      </x:c>
      <x:c r="C10" s="37" t="s">
        <x:v>31</x:v>
      </x:c>
      <x:c r="D10" s="38">
        <x:v>0</x:v>
      </x:c>
    </x:row>
    <x:row r="11">
      <x:c r="A11" s="37" t="str">
        <x:f t="shared" si="0"/>
        <x:v>Conservador-Hotelarias</x:v>
      </x:c>
      <x:c r="B11" s="37" t="s">
        <x:v>42</x:v>
      </x:c>
      <x:c r="C11" s="37" t="s">
        <x:v>32</x:v>
      </x:c>
      <x:c r="D11" s="38">
        <x:v>0</x:v>
      </x:c>
    </x:row>
    <x:row r="12">
      <x:c r="A12" s="37" t="str">
        <x:f t="shared" si="0"/>
        <x:v>Moderado-Papel</x:v>
      </x:c>
      <x:c r="B12" s="37" t="s">
        <x:v>43</x:v>
      </x:c>
      <x:c r="C12" s="37" t="s">
        <x:v>27</x:v>
      </x:c>
      <x:c r="D12" s="38">
        <x:v>0.25</x:v>
      </x:c>
    </x:row>
    <x:row r="13">
      <x:c r="A13" s="37" t="str">
        <x:f t="shared" si="0"/>
        <x:v>Moderado-Tijolo</x:v>
      </x:c>
      <x:c r="B13" s="37" t="s">
        <x:v>43</x:v>
      </x:c>
      <x:c r="C13" s="37" t="s">
        <x:v>28</x:v>
      </x:c>
      <x:c r="D13" s="38">
        <x:v>0.3</x:v>
      </x:c>
    </x:row>
    <x:row r="14">
      <x:c r="A14" s="37" t="str">
        <x:f t="shared" si="0"/>
        <x:v>Moderado-Híbridos</x:v>
      </x:c>
      <x:c r="B14" s="37" t="s">
        <x:v>43</x:v>
      </x:c>
      <x:c r="C14" s="37" t="s">
        <x:v>29</x:v>
      </x:c>
      <x:c r="D14" s="38">
        <x:v>0.15</x:v>
      </x:c>
    </x:row>
    <x:row r="15">
      <x:c r="A15" s="37" t="str">
        <x:f t="shared" si="0"/>
        <x:v>Moderado-FOFs</x:v>
      </x:c>
      <x:c r="B15" s="37" t="s">
        <x:v>43</x:v>
      </x:c>
      <x:c r="C15" s="37" t="s">
        <x:v>30</x:v>
      </x:c>
      <x:c r="D15" s="38">
        <x:v>0.1</x:v>
      </x:c>
    </x:row>
    <x:row r="16">
      <x:c r="A16" s="37" t="str">
        <x:f t="shared" si="0"/>
        <x:v>Moderado-Desenvolvimento</x:v>
      </x:c>
      <x:c r="B16" s="37" t="s">
        <x:v>43</x:v>
      </x:c>
      <x:c r="C16" s="37" t="s">
        <x:v>31</x:v>
      </x:c>
      <x:c r="D16" s="38">
        <x:v>0.1</x:v>
      </x:c>
    </x:row>
    <x:row r="17">
      <x:c r="A17" s="37" t="str">
        <x:f t="shared" si="0"/>
        <x:v>Moderado-Hotelarias</x:v>
      </x:c>
      <x:c r="B17" s="37" t="s">
        <x:v>43</x:v>
      </x:c>
      <x:c r="C17" s="37" t="s">
        <x:v>32</x:v>
      </x:c>
      <x:c r="D17" s="38">
        <x:v>0.1</x:v>
      </x:c>
    </x:row>
    <x:row r="18">
      <x:c r="A18" s="37" t="str">
        <x:f t="shared" si="0"/>
        <x:v>Agressivo-Papel</x:v>
      </x:c>
      <x:c r="B18" s="37" t="s">
        <x:v>44</x:v>
      </x:c>
      <x:c r="C18" s="37" t="s">
        <x:v>27</x:v>
      </x:c>
      <x:c r="D18" s="38">
        <x:v>0.2</x:v>
      </x:c>
    </x:row>
    <x:row r="19">
      <x:c r="A19" s="37" t="str">
        <x:f t="shared" si="0"/>
        <x:v>Agressivo-Tijolo</x:v>
      </x:c>
      <x:c r="B19" s="37" t="s">
        <x:v>44</x:v>
      </x:c>
      <x:c r="C19" s="37" t="s">
        <x:v>28</x:v>
      </x:c>
      <x:c r="D19" s="38">
        <x:v>0.2</x:v>
      </x:c>
    </x:row>
    <x:row r="20">
      <x:c r="A20" s="37" t="str">
        <x:f t="shared" si="0"/>
        <x:v>Agressivo-Híbridos</x:v>
      </x:c>
      <x:c r="B20" s="37" t="s">
        <x:v>44</x:v>
      </x:c>
      <x:c r="C20" s="37" t="s">
        <x:v>29</x:v>
      </x:c>
      <x:c r="D20" s="38">
        <x:v>0.15</x:v>
      </x:c>
    </x:row>
    <x:row r="21">
      <x:c r="A21" s="37" t="str">
        <x:f t="shared" si="0"/>
        <x:v>Agressivo-FOFs</x:v>
      </x:c>
      <x:c r="B21" s="37" t="s">
        <x:v>44</x:v>
      </x:c>
      <x:c r="C21" s="37" t="s">
        <x:v>30</x:v>
      </x:c>
      <x:c r="D21" s="38">
        <x:v>0.1</x:v>
      </x:c>
    </x:row>
    <x:row r="22">
      <x:c r="A22" s="37" t="str">
        <x:f t="shared" si="0"/>
        <x:v>Agressivo-Desenvolvimento</x:v>
      </x:c>
      <x:c r="B22" s="37" t="s">
        <x:v>44</x:v>
      </x:c>
      <x:c r="C22" s="37" t="s">
        <x:v>31</x:v>
      </x:c>
      <x:c r="D22" s="38">
        <x:v>0.2</x:v>
      </x:c>
    </x:row>
    <x:row r="23">
      <x:c r="A23" s="39" t="str">
        <x:f t="shared" si="0"/>
        <x:v>Agressivo-Hotelarias</x:v>
      </x:c>
      <x:c r="B23" s="39" t="s">
        <x:v>44</x:v>
      </x:c>
      <x:c r="C23" s="39" t="s">
        <x:v>32</x:v>
      </x:c>
      <x:c r="D23" s="40">
        <x:v>0.15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